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code\my_code\diansai\"/>
    </mc:Choice>
  </mc:AlternateContent>
  <xr:revisionPtr revIDLastSave="0" documentId="13_ncr:1_{1F6241EF-9BBD-4658-B871-2CE8910CCA37}" xr6:coauthVersionLast="47" xr6:coauthVersionMax="47" xr10:uidLastSave="{00000000-0000-0000-0000-000000000000}"/>
  <bookViews>
    <workbookView xWindow="5590" yWindow="1590" windowWidth="19200" windowHeight="11720" xr2:uid="{81367D8F-0917-4FDC-802A-4AEAC8A44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3" i="1"/>
  <c r="B9" i="1"/>
  <c r="B17" i="1" s="1"/>
</calcChain>
</file>

<file path=xl/sharedStrings.xml><?xml version="1.0" encoding="utf-8"?>
<sst xmlns="http://schemas.openxmlformats.org/spreadsheetml/2006/main" count="19" uniqueCount="18">
  <si>
    <t>价格</t>
    <phoneticPr fontId="1" type="noConversion"/>
  </si>
  <si>
    <t>TI板</t>
    <phoneticPr fontId="1" type="noConversion"/>
  </si>
  <si>
    <t>TI扩展板</t>
    <phoneticPr fontId="1" type="noConversion"/>
  </si>
  <si>
    <t>灰度传感器</t>
    <phoneticPr fontId="1" type="noConversion"/>
  </si>
  <si>
    <t>器件清单（暂定）</t>
    <phoneticPr fontId="1" type="noConversion"/>
  </si>
  <si>
    <t>选配</t>
    <phoneticPr fontId="1" type="noConversion"/>
  </si>
  <si>
    <t>车模</t>
    <phoneticPr fontId="1" type="noConversion"/>
  </si>
  <si>
    <t>云台</t>
    <phoneticPr fontId="1" type="noConversion"/>
  </si>
  <si>
    <t>备用TI板*2</t>
    <phoneticPr fontId="1" type="noConversion"/>
  </si>
  <si>
    <t>电池</t>
    <phoneticPr fontId="1" type="noConversion"/>
  </si>
  <si>
    <t>总价</t>
    <phoneticPr fontId="1" type="noConversion"/>
  </si>
  <si>
    <t>当前必需品</t>
    <phoneticPr fontId="1" type="noConversion"/>
  </si>
  <si>
    <t>MAIXCAM</t>
    <phoneticPr fontId="1" type="noConversion"/>
  </si>
  <si>
    <t>GT50电机*2/MG513电机*2</t>
    <phoneticPr fontId="1" type="noConversion"/>
  </si>
  <si>
    <t>下载器</t>
    <phoneticPr fontId="1" type="noConversion"/>
  </si>
  <si>
    <t>龙邱蓝牙模块</t>
    <phoneticPr fontId="1" type="noConversion"/>
  </si>
  <si>
    <t>龙邱陀螺仪模块</t>
    <phoneticPr fontId="1" type="noConversion"/>
  </si>
  <si>
    <t>龙邱云台价格未知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</si>
</sst>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C436-CC6D-40C5-8F5E-2232E9F3D469}">
  <dimension ref="A1:C17"/>
  <sheetViews>
    <sheetView tabSelected="1" workbookViewId="0">
      <selection activeCell="C19" sqref="C19"/>
    </sheetView>
  </sheetViews>
  <sheetFormatPr defaultRowHeight="14" x14ac:dyDescent="0.3"/>
  <cols>
    <col min="1" max="1" width="23.58203125" bestFit="1" customWidth="1"/>
    <col min="3" max="3" width="16.25" bestFit="1" customWidth="1"/>
  </cols>
  <sheetData>
    <row r="1" spans="1:3" x14ac:dyDescent="0.3">
      <c r="A1" t="s">
        <v>4</v>
      </c>
      <c r="B1" t="s">
        <v>0</v>
      </c>
    </row>
    <row r="2" spans="1:3" x14ac:dyDescent="0.3">
      <c r="A2" s="1" t="s">
        <v>11</v>
      </c>
    </row>
    <row r="3" spans="1:3" x14ac:dyDescent="0.3">
      <c r="A3" t="s">
        <v>1</v>
      </c>
      <c r="B3">
        <v>69</v>
      </c>
    </row>
    <row r="4" spans="1:3" x14ac:dyDescent="0.3">
      <c r="A4" t="s">
        <v>14</v>
      </c>
      <c r="B4">
        <v>91.5</v>
      </c>
    </row>
    <row r="5" spans="1:3" x14ac:dyDescent="0.3">
      <c r="A5" t="s">
        <v>2</v>
      </c>
      <c r="B5">
        <v>119</v>
      </c>
    </row>
    <row r="6" spans="1:3" x14ac:dyDescent="0.3">
      <c r="A6" t="s">
        <v>3</v>
      </c>
      <c r="B6">
        <v>59.9</v>
      </c>
    </row>
    <row r="7" spans="1:3" x14ac:dyDescent="0.3">
      <c r="A7" t="s">
        <v>15</v>
      </c>
      <c r="B7">
        <v>86</v>
      </c>
    </row>
    <row r="8" spans="1:3" x14ac:dyDescent="0.3">
      <c r="A8" t="s">
        <v>16</v>
      </c>
      <c r="B8">
        <v>59</v>
      </c>
    </row>
    <row r="9" spans="1:3" x14ac:dyDescent="0.3">
      <c r="A9" t="s">
        <v>10</v>
      </c>
      <c r="B9">
        <f>SUM(B3,B4,B5,B6,B7,B8)</f>
        <v>484.4</v>
      </c>
    </row>
    <row r="10" spans="1:3" x14ac:dyDescent="0.3">
      <c r="A10" s="1" t="s">
        <v>5</v>
      </c>
    </row>
    <row r="11" spans="1:3" x14ac:dyDescent="0.3">
      <c r="A11" t="s">
        <v>6</v>
      </c>
      <c r="B11">
        <v>219</v>
      </c>
    </row>
    <row r="12" spans="1:3" x14ac:dyDescent="0.3">
      <c r="A12" t="s">
        <v>7</v>
      </c>
      <c r="B12">
        <v>374</v>
      </c>
      <c r="C12" t="s">
        <v>17</v>
      </c>
    </row>
    <row r="13" spans="1:3" x14ac:dyDescent="0.3">
      <c r="A13" t="s">
        <v>8</v>
      </c>
      <c r="B13">
        <f>99*2</f>
        <v>198</v>
      </c>
    </row>
    <row r="14" spans="1:3" x14ac:dyDescent="0.3">
      <c r="A14" t="s">
        <v>12</v>
      </c>
      <c r="B14">
        <v>315</v>
      </c>
    </row>
    <row r="15" spans="1:3" x14ac:dyDescent="0.3">
      <c r="A15" t="s">
        <v>13</v>
      </c>
      <c r="B15">
        <v>96</v>
      </c>
      <c r="C15">
        <f>44*2</f>
        <v>88</v>
      </c>
    </row>
    <row r="16" spans="1:3" x14ac:dyDescent="0.3">
      <c r="A16" t="s">
        <v>9</v>
      </c>
      <c r="B16">
        <v>40</v>
      </c>
    </row>
    <row r="17" spans="1:2" x14ac:dyDescent="0.3">
      <c r="A17" t="s">
        <v>10</v>
      </c>
      <c r="B17">
        <f>SUM(B11:B16,B9)</f>
        <v>1726.4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2026-07-13T11:10:27Z</dcterms:created>
  <dcterms:modified xsi:type="dcterms:W3CDTF">2026-07-13T15:18:35Z</dcterms:modified>
</cp:coreProperties>
</file>